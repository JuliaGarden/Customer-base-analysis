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adykova/Desktop/"/>
    </mc:Choice>
  </mc:AlternateContent>
  <xr:revisionPtr revIDLastSave="0" documentId="13_ncr:1_{2437AE02-3B80-A848-877B-7D45FFECA82C}" xr6:coauthVersionLast="47" xr6:coauthVersionMax="47" xr10:uidLastSave="{00000000-0000-0000-0000-000000000000}"/>
  <bookViews>
    <workbookView xWindow="5360" yWindow="1000" windowWidth="20240" windowHeight="13780" xr2:uid="{F5E79F0D-4D3F-9F49-824A-19D8EDB2287E}"/>
  </bookViews>
  <sheets>
    <sheet name="Лист1" sheetId="1" r:id="rId1"/>
  </sheets>
  <definedNames>
    <definedName name="_xlchart.v1.0" hidden="1">Лист1!$C$31:$C$37</definedName>
    <definedName name="_xlchart.v1.1" hidden="1">Лист1!$D$30</definedName>
    <definedName name="_xlchart.v1.10" hidden="1">Лист1!$H$31:$H$37</definedName>
    <definedName name="_xlchart.v1.2" hidden="1">Лист1!$D$31:$D$37</definedName>
    <definedName name="_xlchart.v1.3" hidden="1">Лист1!$E$30</definedName>
    <definedName name="_xlchart.v1.4" hidden="1">Лист1!$E$31:$E$37</definedName>
    <definedName name="_xlchart.v1.5" hidden="1">Лист1!$F$30</definedName>
    <definedName name="_xlchart.v1.6" hidden="1">Лист1!$F$31:$F$37</definedName>
    <definedName name="_xlchart.v1.7" hidden="1">Лист1!$G$30</definedName>
    <definedName name="_xlchart.v1.8" hidden="1">Лист1!$G$31:$G$37</definedName>
    <definedName name="_xlchart.v1.9" hidden="1">Лист1!$H$30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E77" i="1"/>
  <c r="E78" i="1"/>
  <c r="E79" i="1"/>
  <c r="E75" i="1"/>
  <c r="D79" i="1"/>
  <c r="D78" i="1"/>
  <c r="D77" i="1"/>
  <c r="D76" i="1"/>
  <c r="D75" i="1"/>
  <c r="C79" i="1"/>
  <c r="C78" i="1"/>
  <c r="C77" i="1"/>
  <c r="C76" i="1"/>
  <c r="C75" i="1"/>
  <c r="G48" i="1"/>
  <c r="F42" i="1"/>
  <c r="H31" i="1"/>
  <c r="E43" i="1"/>
  <c r="E44" i="1"/>
  <c r="E36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F36" i="1"/>
  <c r="G36" i="1"/>
  <c r="H36" i="1"/>
  <c r="D37" i="1"/>
  <c r="E37" i="1"/>
  <c r="F37" i="1"/>
  <c r="G37" i="1"/>
  <c r="H37" i="1"/>
  <c r="D42" i="1"/>
  <c r="E42" i="1"/>
  <c r="G42" i="1"/>
  <c r="H42" i="1"/>
  <c r="D43" i="1"/>
  <c r="F43" i="1"/>
  <c r="G43" i="1"/>
  <c r="H43" i="1"/>
  <c r="D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H48" i="1"/>
  <c r="E31" i="1"/>
  <c r="F31" i="1"/>
  <c r="G31" i="1"/>
  <c r="D31" i="1"/>
  <c r="J19" i="1"/>
  <c r="J25" i="1"/>
  <c r="J26" i="1"/>
  <c r="J27" i="1"/>
  <c r="J21" i="1"/>
  <c r="J14" i="1"/>
  <c r="J24" i="1"/>
  <c r="J23" i="1"/>
  <c r="J22" i="1"/>
  <c r="J20" i="1"/>
  <c r="J18" i="1"/>
  <c r="J17" i="1"/>
  <c r="J16" i="1"/>
  <c r="J15" i="1"/>
</calcChain>
</file>

<file path=xl/sharedStrings.xml><?xml version="1.0" encoding="utf-8"?>
<sst xmlns="http://schemas.openxmlformats.org/spreadsheetml/2006/main" count="50" uniqueCount="30">
  <si>
    <t>БАЗА ПРОДУКТА В КЛИЕНТАХ, С ДЕЛЕНИЕМ</t>
  </si>
  <si>
    <t>БАЗА</t>
  </si>
  <si>
    <t>ДАТА</t>
  </si>
  <si>
    <t>ЧИСЛО КЛИЕНТОВ</t>
  </si>
  <si>
    <t>ДОГОВОР КРЕДИТ</t>
  </si>
  <si>
    <t>ДОГОВОР ЛИЗИНГ</t>
  </si>
  <si>
    <t>ДОГОВОР ГАРАНТИИ</t>
  </si>
  <si>
    <t>ДОГОВОР ЗПП</t>
  </si>
  <si>
    <t>ДОГОВОР ЭКВ</t>
  </si>
  <si>
    <t>Проникновение продукта</t>
  </si>
  <si>
    <t>Первая категория</t>
  </si>
  <si>
    <t>Вторая категория</t>
  </si>
  <si>
    <t xml:space="preserve">Проникновение для каждого продукта </t>
  </si>
  <si>
    <t>Кредит</t>
  </si>
  <si>
    <t>Лизинг</t>
  </si>
  <si>
    <t>Гарантии</t>
  </si>
  <si>
    <t>ЗПП</t>
  </si>
  <si>
    <t>Эквайринг</t>
  </si>
  <si>
    <t>Общее проникновение продукта</t>
  </si>
  <si>
    <t>Динамика проникновения отдельных банковских продуктов (первая категория)</t>
  </si>
  <si>
    <t>Продукт</t>
  </si>
  <si>
    <t>2)</t>
  </si>
  <si>
    <t>Визуализировать:</t>
  </si>
  <si>
    <t>2.1</t>
  </si>
  <si>
    <t xml:space="preserve">Число клиентов разных категорий в динамике </t>
  </si>
  <si>
    <t>2.2</t>
  </si>
  <si>
    <t>Проникновение продуктов в динамике</t>
  </si>
  <si>
    <t>2.3</t>
  </si>
  <si>
    <t>Проиллюстрировать различия между категориями клиентов и между продуктами</t>
  </si>
  <si>
    <t>Разрыв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</si>
</sst>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\ _₽_-;\-* #,##0\ _₽_-;_-* &quot;-&quot;??\ _₽_-;_-@_-"/>
    <numFmt numFmtId="165" formatCode="#,##0.000_ ;\-#,##0.000\ "/>
    <numFmt numFmtId="166" formatCode="0.0%"/>
  </numFmts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4"/>
      <color rgb="FF59595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4" fontId="0" fillId="2" borderId="3" xfId="0" applyNumberFormat="1" applyFill="1" applyBorder="1"/>
    <xf numFmtId="164" fontId="0" fillId="2" borderId="3" xfId="1" applyNumberFormat="1" applyFont="1" applyFill="1" applyBorder="1"/>
    <xf numFmtId="9" fontId="0" fillId="2" borderId="3" xfId="2" applyFont="1" applyFill="1" applyBorder="1"/>
    <xf numFmtId="14" fontId="0" fillId="2" borderId="4" xfId="0" applyNumberFormat="1" applyFill="1" applyBorder="1"/>
    <xf numFmtId="164" fontId="0" fillId="2" borderId="4" xfId="1" applyNumberFormat="1" applyFont="1" applyFill="1" applyBorder="1"/>
    <xf numFmtId="9" fontId="0" fillId="2" borderId="4" xfId="2" applyFont="1" applyFill="1" applyBorder="1"/>
    <xf numFmtId="14" fontId="0" fillId="2" borderId="6" xfId="0" applyNumberFormat="1" applyFill="1" applyBorder="1"/>
    <xf numFmtId="164" fontId="0" fillId="2" borderId="6" xfId="1" applyNumberFormat="1" applyFont="1" applyFill="1" applyBorder="1"/>
    <xf numFmtId="9" fontId="0" fillId="2" borderId="6" xfId="2" applyFont="1" applyFill="1" applyBorder="1"/>
    <xf numFmtId="0" fontId="0" fillId="2" borderId="3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65" fontId="0" fillId="0" borderId="0" xfId="0" applyNumberFormat="1"/>
    <xf numFmtId="166" fontId="0" fillId="2" borderId="3" xfId="1" applyNumberFormat="1" applyFont="1" applyFill="1" applyBorder="1"/>
    <xf numFmtId="0" fontId="3" fillId="0" borderId="0" xfId="0" applyFont="1"/>
    <xf numFmtId="14" fontId="0" fillId="0" borderId="1" xfId="0" applyNumberFormat="1" applyBorder="1"/>
    <xf numFmtId="0" fontId="4" fillId="0" borderId="0" xfId="0" applyFont="1" applyAlignment="1">
      <alignment horizontal="center" vertical="center" readingOrder="1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/>
    <xf numFmtId="10" fontId="0" fillId="0" borderId="0" xfId="0" applyNumberFormat="1"/>
    <xf numFmtId="166" fontId="0" fillId="0" borderId="0" xfId="0" applyNumberForma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colors>
    <mruColors>
      <color rgb="FFFFB800"/>
      <color rgb="FFFFE9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клиентской базы по категориям</a:t>
            </a:r>
            <a:endParaRPr lang="ru-RU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Первая категория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Лист1!$C$21:$C$27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Лист1!$D$14:$D$20</c:f>
              <c:numCache>
                <c:formatCode>_-* #\ ##0\ _₽_-;\-* #\ ##0\ _₽_-;_-* "-"??\ _₽_-;_-@_-</c:formatCode>
                <c:ptCount val="7"/>
                <c:pt idx="0">
                  <c:v>184171.1</c:v>
                </c:pt>
                <c:pt idx="1">
                  <c:v>198173.21</c:v>
                </c:pt>
                <c:pt idx="2">
                  <c:v>212175.32</c:v>
                </c:pt>
                <c:pt idx="3">
                  <c:v>226177.43</c:v>
                </c:pt>
                <c:pt idx="4">
                  <c:v>240179.54</c:v>
                </c:pt>
                <c:pt idx="5">
                  <c:v>254181.65</c:v>
                </c:pt>
                <c:pt idx="6">
                  <c:v>268183.760000001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2-8048-BABD-43D5046B82CE}"/>
            </c:ext>
          </c:extLst>
        </c:ser>
        <c:ser>
          <c:idx val="1"/>
          <c:order val="1"/>
          <c:tx>
            <c:v>Вторая категория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Лист1!$C$21:$C$27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Лист1!$D$21:$D$27</c:f>
              <c:numCache>
                <c:formatCode>_-* #\ ##0\ _₽_-;\-* #\ ##0\ _₽_-;_-* "-"??\ _₽_-;_-@_-</c:formatCode>
                <c:ptCount val="7"/>
                <c:pt idx="0">
                  <c:v>18999.36</c:v>
                </c:pt>
                <c:pt idx="1">
                  <c:v>43464</c:v>
                </c:pt>
                <c:pt idx="2">
                  <c:v>101837.9</c:v>
                </c:pt>
                <c:pt idx="3">
                  <c:v>104092</c:v>
                </c:pt>
                <c:pt idx="4">
                  <c:v>122823.01</c:v>
                </c:pt>
                <c:pt idx="5">
                  <c:v>173302.43</c:v>
                </c:pt>
                <c:pt idx="6">
                  <c:v>187483.1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D2-8048-BABD-43D5046B8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477056"/>
        <c:axId val="1774478784"/>
      </c:lineChart>
      <c:dateAx>
        <c:axId val="17744770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4478784"/>
        <c:crosses val="autoZero"/>
        <c:auto val="1"/>
        <c:lblOffset val="100"/>
        <c:baseTimeUnit val="months"/>
      </c:dateAx>
      <c:valAx>
        <c:axId val="17744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44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Проникновение продуктов в динамике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Первая категория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Лист1!$C$42:$C$48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Лист1!$J$14:$J$20</c:f>
              <c:numCache>
                <c:formatCode>0%</c:formatCode>
                <c:ptCount val="7"/>
                <c:pt idx="0">
                  <c:v>0.32432714898209608</c:v>
                </c:pt>
                <c:pt idx="1">
                  <c:v>0.48586635344098555</c:v>
                </c:pt>
                <c:pt idx="2">
                  <c:v>0.52791281552523361</c:v>
                </c:pt>
                <c:pt idx="3">
                  <c:v>0.56042801026288747</c:v>
                </c:pt>
                <c:pt idx="4">
                  <c:v>0.59017030905732537</c:v>
                </c:pt>
                <c:pt idx="5">
                  <c:v>0.58565787063223307</c:v>
                </c:pt>
                <c:pt idx="6">
                  <c:v>0.5816166289656326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B1-BB44-99AB-2577C8AA2518}"/>
            </c:ext>
          </c:extLst>
        </c:ser>
        <c:ser>
          <c:idx val="1"/>
          <c:order val="1"/>
          <c:tx>
            <c:v>Вторая категория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Лист1!$C$42:$C$48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Лист1!$J$21:$J$27</c:f>
              <c:numCache>
                <c:formatCode>0%</c:formatCode>
                <c:ptCount val="7"/>
                <c:pt idx="0">
                  <c:v>0.22263328870025095</c:v>
                </c:pt>
                <c:pt idx="1">
                  <c:v>0.30243718939812253</c:v>
                </c:pt>
                <c:pt idx="2">
                  <c:v>0.18653291161738411</c:v>
                </c:pt>
                <c:pt idx="3">
                  <c:v>0.20528609307151366</c:v>
                </c:pt>
                <c:pt idx="4">
                  <c:v>0.20167198312433476</c:v>
                </c:pt>
                <c:pt idx="5">
                  <c:v>0.24477596765377155</c:v>
                </c:pt>
                <c:pt idx="6">
                  <c:v>0.27886566842558075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B1-BB44-99AB-2577C8AA2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767584"/>
        <c:axId val="1811863536"/>
      </c:lineChart>
      <c:catAx>
        <c:axId val="1918767584"/>
        <c:scaling>
          <c:orientation val="minMax"/>
          <c:max val="7"/>
          <c:min val="1"/>
        </c:scaling>
        <c:delete val="0"/>
        <c:axPos val="b"/>
        <c:numFmt formatCode="m/d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1863536"/>
        <c:crosses val="autoZero"/>
        <c:auto val="0"/>
        <c:lblAlgn val="ctr"/>
        <c:lblOffset val="100"/>
        <c:tickLblSkip val="1"/>
        <c:noMultiLvlLbl val="0"/>
      </c:catAx>
      <c:valAx>
        <c:axId val="1811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876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Динамика проникновения банковских продуктов </a:t>
            </a:r>
          </a:p>
          <a:p>
            <a:pPr>
              <a:defRPr/>
            </a:pPr>
            <a:r>
              <a:rPr lang="ru-RU" sz="1400" b="0" i="0" u="none" strike="noStrike" baseline="0">
                <a:effectLst/>
              </a:rPr>
              <a:t>(первая категория клиентов)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Лист1!$D$30</c:f>
              <c:strCache>
                <c:ptCount val="1"/>
                <c:pt idx="0">
                  <c:v>Кредит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Лист1!$C$31:$C$37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Лист1!$D$31:$D$37</c:f>
              <c:numCache>
                <c:formatCode>0.0%</c:formatCode>
                <c:ptCount val="7"/>
                <c:pt idx="0">
                  <c:v>0.10362786095569361</c:v>
                </c:pt>
                <c:pt idx="1">
                  <c:v>0.16440191506256285</c:v>
                </c:pt>
                <c:pt idx="2">
                  <c:v>0.16048104979994038</c:v>
                </c:pt>
                <c:pt idx="3">
                  <c:v>0.15704564753601252</c:v>
                </c:pt>
                <c:pt idx="4">
                  <c:v>0.15401080295817038</c:v>
                </c:pt>
                <c:pt idx="5">
                  <c:v>0.15131031947690504</c:v>
                </c:pt>
                <c:pt idx="6">
                  <c:v>0.14889182523136213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C-414C-BEF2-5DAC706B9106}"/>
            </c:ext>
          </c:extLst>
        </c:ser>
        <c:ser>
          <c:idx val="1"/>
          <c:order val="1"/>
          <c:tx>
            <c:strRef>
              <c:f>Лист1!$E$30</c:f>
              <c:strCache>
                <c:ptCount val="1"/>
                <c:pt idx="0">
                  <c:v>Лизинг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Лист1!$C$31:$C$37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Лист1!$E$31:$E$37</c:f>
              <c:numCache>
                <c:formatCode>0.0%</c:formatCode>
                <c:ptCount val="7"/>
                <c:pt idx="0">
                  <c:v>5.0274500179452696E-2</c:v>
                </c:pt>
                <c:pt idx="1">
                  <c:v>5.0652255166074169E-2</c:v>
                </c:pt>
                <c:pt idx="2">
                  <c:v>6.2739530686226841E-2</c:v>
                </c:pt>
                <c:pt idx="3">
                  <c:v>6.5975961144015563E-2</c:v>
                </c:pt>
                <c:pt idx="4">
                  <c:v>7.0566411832303874E-2</c:v>
                </c:pt>
                <c:pt idx="5">
                  <c:v>7.4651114009737923E-2</c:v>
                </c:pt>
                <c:pt idx="6">
                  <c:v>7.8309284400118861E-2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C-414C-BEF2-5DAC706B9106}"/>
            </c:ext>
          </c:extLst>
        </c:ser>
        <c:ser>
          <c:idx val="2"/>
          <c:order val="2"/>
          <c:tx>
            <c:strRef>
              <c:f>Лист1!$F$30</c:f>
              <c:strCache>
                <c:ptCount val="1"/>
                <c:pt idx="0">
                  <c:v>Гарантии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Лист1!$C$31:$C$37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Лист1!$F$31:$F$37</c:f>
              <c:numCache>
                <c:formatCode>0.0%</c:formatCode>
                <c:ptCount val="7"/>
                <c:pt idx="0">
                  <c:v>4.5437291735782641E-2</c:v>
                </c:pt>
                <c:pt idx="1">
                  <c:v>4.8667207843078285E-2</c:v>
                </c:pt>
                <c:pt idx="2">
                  <c:v>4.790956082922368E-2</c:v>
                </c:pt>
                <c:pt idx="3">
                  <c:v>4.9472915135696786E-2</c:v>
                </c:pt>
                <c:pt idx="4">
                  <c:v>5.0329649228239834E-2</c:v>
                </c:pt>
                <c:pt idx="5">
                  <c:v>5.1091993462155892E-2</c:v>
                </c:pt>
                <c:pt idx="6">
                  <c:v>5.1774732370073219E-2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CC-414C-BEF2-5DAC706B9106}"/>
            </c:ext>
          </c:extLst>
        </c:ser>
        <c:ser>
          <c:idx val="3"/>
          <c:order val="3"/>
          <c:tx>
            <c:strRef>
              <c:f>Лист1!$G$30</c:f>
              <c:strCache>
                <c:ptCount val="1"/>
                <c:pt idx="0">
                  <c:v>ЗПП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Лист1!$C$31:$C$37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Лист1!$G$31:$G$37</c:f>
              <c:numCache>
                <c:formatCode>0.0%</c:formatCode>
                <c:ptCount val="7"/>
                <c:pt idx="0">
                  <c:v>1.6357425024881751E-2</c:v>
                </c:pt>
                <c:pt idx="1">
                  <c:v>1.7520194823508181E-2</c:v>
                </c:pt>
                <c:pt idx="2">
                  <c:v>1.7247441898520524E-2</c:v>
                </c:pt>
                <c:pt idx="3">
                  <c:v>1.7810249448850842E-2</c:v>
                </c:pt>
                <c:pt idx="4">
                  <c:v>1.8118673722166339E-2</c:v>
                </c:pt>
                <c:pt idx="5">
                  <c:v>1.8393117646376123E-2</c:v>
                </c:pt>
                <c:pt idx="6">
                  <c:v>1.8638903653226357E-2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CC-414C-BEF2-5DAC706B9106}"/>
            </c:ext>
          </c:extLst>
        </c:ser>
        <c:ser>
          <c:idx val="4"/>
          <c:order val="4"/>
          <c:tx>
            <c:strRef>
              <c:f>Лист1!$H$30</c:f>
              <c:strCache>
                <c:ptCount val="1"/>
                <c:pt idx="0">
                  <c:v>Эквайринг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Лист1!$C$31:$C$37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Лист1!$H$31:$H$37</c:f>
              <c:numCache>
                <c:formatCode>0.0%</c:formatCode>
                <c:ptCount val="7"/>
                <c:pt idx="0">
                  <c:v>0.10863007108628536</c:v>
                </c:pt>
                <c:pt idx="1">
                  <c:v>0.20462478054576203</c:v>
                </c:pt>
                <c:pt idx="2">
                  <c:v>0.23953523231132223</c:v>
                </c:pt>
                <c:pt idx="3">
                  <c:v>0.2701232369983117</c:v>
                </c:pt>
                <c:pt idx="4">
                  <c:v>0.29714477131644507</c:v>
                </c:pt>
                <c:pt idx="5">
                  <c:v>0.29021132603705818</c:v>
                </c:pt>
                <c:pt idx="6">
                  <c:v>0.28400188331085208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CC-414C-BEF2-5DAC706B9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050895"/>
        <c:axId val="301269375"/>
      </c:lineChart>
      <c:catAx>
        <c:axId val="30105089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269375"/>
        <c:crosses val="autoZero"/>
        <c:auto val="0"/>
        <c:lblAlgn val="ctr"/>
        <c:lblOffset val="100"/>
        <c:noMultiLvlLbl val="0"/>
      </c:catAx>
      <c:valAx>
        <c:axId val="301269375"/>
        <c:scaling>
          <c:orientation val="minMax"/>
          <c:max val="0.35"/>
          <c:min val="-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050895"/>
        <c:crosses val="autoZero"/>
        <c:crossBetween val="between"/>
        <c:majorUnit val="0.0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Динамика проникновения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банковских</a:t>
            </a:r>
            <a:r>
              <a:rPr lang="ru-RU" sz="1400" b="0" i="0" u="none" strike="noStrike" baseline="0">
                <a:effectLst/>
              </a:rPr>
              <a:t> продуктов </a:t>
            </a:r>
          </a:p>
          <a:p>
            <a:pPr>
              <a:defRPr/>
            </a:pPr>
            <a:r>
              <a:rPr lang="ru-RU" sz="1400" b="0" i="0" u="none" strike="noStrike" baseline="0">
                <a:effectLst/>
              </a:rPr>
              <a:t>(вторая категория клиентов)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Лист1!$D$30</c:f>
              <c:strCache>
                <c:ptCount val="1"/>
                <c:pt idx="0">
                  <c:v>Кредит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Лист1!$C$42:$C$48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Лист1!$D$42:$D$48</c:f>
              <c:numCache>
                <c:formatCode>0.0%</c:formatCode>
                <c:ptCount val="7"/>
                <c:pt idx="0">
                  <c:v>7.440250618968218E-2</c:v>
                </c:pt>
                <c:pt idx="1">
                  <c:v>9.0347874102705686E-2</c:v>
                </c:pt>
                <c:pt idx="2">
                  <c:v>6.7002952731743295E-2</c:v>
                </c:pt>
                <c:pt idx="3">
                  <c:v>7.2600391960957619E-2</c:v>
                </c:pt>
                <c:pt idx="4">
                  <c:v>6.7791857568056668E-2</c:v>
                </c:pt>
                <c:pt idx="5">
                  <c:v>8.6392787452547554E-2</c:v>
                </c:pt>
                <c:pt idx="6">
                  <c:v>9.2780202588926691E-2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0-A44A-948D-E6502BC767ED}"/>
            </c:ext>
          </c:extLst>
        </c:ser>
        <c:ser>
          <c:idx val="1"/>
          <c:order val="1"/>
          <c:tx>
            <c:strRef>
              <c:f>Лист1!$E$30</c:f>
              <c:strCache>
                <c:ptCount val="1"/>
                <c:pt idx="0">
                  <c:v>Лизинг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Лист1!$C$42:$C$48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Лист1!$E$42:$E$48</c:f>
              <c:numCache>
                <c:formatCode>0.0%</c:formatCode>
                <c:ptCount val="7"/>
                <c:pt idx="0">
                  <c:v>6.0528354639314159E-5</c:v>
                </c:pt>
                <c:pt idx="1">
                  <c:v>6.7297073440088348E-4</c:v>
                </c:pt>
                <c:pt idx="2">
                  <c:v>3.6921421199769439E-4</c:v>
                </c:pt>
                <c:pt idx="3">
                  <c:v>6.6172232256081151E-4</c:v>
                </c:pt>
                <c:pt idx="4">
                  <c:v>9.8678578224064054E-4</c:v>
                </c:pt>
                <c:pt idx="5">
                  <c:v>9.6230618347359592E-4</c:v>
                </c:pt>
                <c:pt idx="6">
                  <c:v>1.2433120638606894E-3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C0-A44A-948D-E6502BC767ED}"/>
            </c:ext>
          </c:extLst>
        </c:ser>
        <c:ser>
          <c:idx val="2"/>
          <c:order val="2"/>
          <c:tx>
            <c:strRef>
              <c:f>Лист1!$F$30</c:f>
              <c:strCache>
                <c:ptCount val="1"/>
                <c:pt idx="0">
                  <c:v>Гарантии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Лист1!$C$42:$C$48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Лист1!$F$42:$F$48</c:f>
              <c:numCache>
                <c:formatCode>0.0%</c:formatCode>
                <c:ptCount val="7"/>
                <c:pt idx="0">
                  <c:v>9.3003132737102725E-3</c:v>
                </c:pt>
                <c:pt idx="1">
                  <c:v>1.1293484262838211E-2</c:v>
                </c:pt>
                <c:pt idx="2">
                  <c:v>8.3753690914679119E-3</c:v>
                </c:pt>
                <c:pt idx="3">
                  <c:v>9.0750489951197024E-3</c:v>
                </c:pt>
                <c:pt idx="4">
                  <c:v>8.4739821960070835E-3</c:v>
                </c:pt>
                <c:pt idx="5">
                  <c:v>1.0799098431568444E-2</c:v>
                </c:pt>
                <c:pt idx="6">
                  <c:v>1.1597525323615836E-2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C0-A44A-948D-E6502BC767ED}"/>
            </c:ext>
          </c:extLst>
        </c:ser>
        <c:ser>
          <c:idx val="3"/>
          <c:order val="3"/>
          <c:tx>
            <c:strRef>
              <c:f>Лист1!$G$30</c:f>
              <c:strCache>
                <c:ptCount val="1"/>
                <c:pt idx="0">
                  <c:v>ЗПП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Лист1!$C$42:$C$48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Лист1!$G$42:$G$48</c:f>
              <c:numCache>
                <c:formatCode>0.0%</c:formatCode>
                <c:ptCount val="7"/>
                <c:pt idx="0">
                  <c:v>7.516042645647011E-4</c:v>
                </c:pt>
                <c:pt idx="1">
                  <c:v>7.8317688201730165E-4</c:v>
                </c:pt>
                <c:pt idx="2">
                  <c:v>6.842246354255146E-4</c:v>
                </c:pt>
                <c:pt idx="3">
                  <c:v>8.0928409483918085E-4</c:v>
                </c:pt>
                <c:pt idx="4">
                  <c:v>1.0289602900954797E-3</c:v>
                </c:pt>
                <c:pt idx="5">
                  <c:v>1.1309708698256568E-3</c:v>
                </c:pt>
                <c:pt idx="6">
                  <c:v>1.1196742533060313E-3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C0-A44A-948D-E6502BC767ED}"/>
            </c:ext>
          </c:extLst>
        </c:ser>
        <c:ser>
          <c:idx val="4"/>
          <c:order val="4"/>
          <c:tx>
            <c:strRef>
              <c:f>Лист1!$H$30</c:f>
              <c:strCache>
                <c:ptCount val="1"/>
                <c:pt idx="0">
                  <c:v>Эквайринг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Лист1!$C$42:$C$48</c:f>
              <c:numCache>
                <c:formatCode>m/d/yy</c:formatCode>
                <c:ptCount val="7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</c:numCache>
            </c:numRef>
          </c:cat>
          <c:val>
            <c:numRef>
              <c:f>Лист1!$H$42:$H$48</c:f>
              <c:numCache>
                <c:formatCode>0.0%</c:formatCode>
                <c:ptCount val="7"/>
                <c:pt idx="0">
                  <c:v>0.13811833661765449</c:v>
                </c:pt>
                <c:pt idx="1">
                  <c:v>0.19933968341616046</c:v>
                </c:pt>
                <c:pt idx="2">
                  <c:v>0.11010115094674969</c:v>
                </c:pt>
                <c:pt idx="3">
                  <c:v>0.12213964569803636</c:v>
                </c:pt>
                <c:pt idx="4">
                  <c:v>0.1233903972879349</c:v>
                </c:pt>
                <c:pt idx="5">
                  <c:v>0.14549080471635625</c:v>
                </c:pt>
                <c:pt idx="6">
                  <c:v>0.17212495419587151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C0-A44A-948D-E6502BC76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050895"/>
        <c:axId val="301269375"/>
      </c:lineChart>
      <c:catAx>
        <c:axId val="30105089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269375"/>
        <c:crosses val="autoZero"/>
        <c:auto val="0"/>
        <c:lblAlgn val="ctr"/>
        <c:lblOffset val="100"/>
        <c:noMultiLvlLbl val="0"/>
      </c:catAx>
      <c:valAx>
        <c:axId val="301269375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05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Различия между категориями клиентов и между продуктами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992910267781937"/>
          <c:y val="0.24615740740740741"/>
          <c:w val="0.84914684365466986"/>
          <c:h val="0.54060112277631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Лист1!$C$74</c:f>
              <c:strCache>
                <c:ptCount val="1"/>
                <c:pt idx="0">
                  <c:v>Первая категория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Лист1!$B$75:$B$79</c:f>
              <c:strCache>
                <c:ptCount val="5"/>
                <c:pt idx="0">
                  <c:v>Эквайринг</c:v>
                </c:pt>
                <c:pt idx="1">
                  <c:v>Кредит</c:v>
                </c:pt>
                <c:pt idx="2">
                  <c:v>Лизинг</c:v>
                </c:pt>
                <c:pt idx="3">
                  <c:v>Гарантии</c:v>
                </c:pt>
                <c:pt idx="4">
                  <c:v>ЗПП</c:v>
                </c:pt>
              </c:strCache>
            </c:strRef>
          </c:cat>
          <c:val>
            <c:numRef>
              <c:f>Лист1!$C$75:$C$79</c:f>
              <c:numCache>
                <c:formatCode>0.0%</c:formatCode>
                <c:ptCount val="5"/>
                <c:pt idx="0">
                  <c:v>0.28400188331085208</c:v>
                </c:pt>
                <c:pt idx="1">
                  <c:v>0.14889182523136213</c:v>
                </c:pt>
                <c:pt idx="2">
                  <c:v>7.8309284400118861E-2</c:v>
                </c:pt>
                <c:pt idx="3">
                  <c:v>5.1774732370073219E-2</c:v>
                </c:pt>
                <c:pt idx="4">
                  <c:v>1.8638903653226357E-2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1-8D40-80A0-B624314EEDD9}"/>
            </c:ext>
          </c:extLst>
        </c:ser>
        <c:ser>
          <c:idx val="1"/>
          <c:order val="1"/>
          <c:tx>
            <c:strRef>
              <c:f>Лист1!$D$74</c:f>
              <c:strCache>
                <c:ptCount val="1"/>
                <c:pt idx="0">
                  <c:v>Вторая категория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Лист1!$B$75:$B$79</c:f>
              <c:strCache>
                <c:ptCount val="5"/>
                <c:pt idx="0">
                  <c:v>Эквайринг</c:v>
                </c:pt>
                <c:pt idx="1">
                  <c:v>Кредит</c:v>
                </c:pt>
                <c:pt idx="2">
                  <c:v>Лизинг</c:v>
                </c:pt>
                <c:pt idx="3">
                  <c:v>Гарантии</c:v>
                </c:pt>
                <c:pt idx="4">
                  <c:v>ЗПП</c:v>
                </c:pt>
              </c:strCache>
            </c:strRef>
          </c:cat>
          <c:val>
            <c:numRef>
              <c:f>Лист1!$D$75:$D$79</c:f>
              <c:numCache>
                <c:formatCode>0.0%</c:formatCode>
                <c:ptCount val="5"/>
                <c:pt idx="0">
                  <c:v>0.17212495419587151</c:v>
                </c:pt>
                <c:pt idx="1">
                  <c:v>9.2780202588926691E-2</c:v>
                </c:pt>
                <c:pt idx="2">
                  <c:v>1.2433120638606894E-3</c:v>
                </c:pt>
                <c:pt idx="3">
                  <c:v>1.1597525323615836E-2</c:v>
                </c:pt>
                <c:pt idx="4">
                  <c:v>1.1196742533060313E-3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1-8D40-80A0-B624314EE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397135"/>
        <c:axId val="638287007"/>
      </c:barChart>
      <c:catAx>
        <c:axId val="80539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287007"/>
        <c:crosses val="autoZero"/>
        <c:auto val="1"/>
        <c:lblAlgn val="ctr"/>
        <c:lblOffset val="100"/>
        <c:noMultiLvlLbl val="0"/>
      </c:catAx>
      <c:valAx>
        <c:axId val="63828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Процентр проникновения</a:t>
                </a:r>
              </a:p>
            </c:rich>
          </c:tx>
          <c:layout>
            <c:manualLayout>
              <c:xMode val="edge"/>
              <c:yMode val="edge"/>
              <c:x val="7.4959225182013212E-4"/>
              <c:y val="0.8022839936211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539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932727086981271"/>
          <c:y val="0.89411924414363475"/>
          <c:w val="0.41840421278230583"/>
          <c:h val="7.8102945465150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515590</xdr:colOff>
      <xdr:row>9</xdr:row>
      <xdr:rowOff>158822</xdr:rowOff>
    </xdr:from>
    <xdr:to>
      <xdr:col>15</xdr:col>
      <xdr:colOff>413488</xdr:colOff>
      <xdr:row>26</xdr:row>
      <xdr:rowOff>108607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28AA43B-DCF9-AFD1-C5BD-9B75F520A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767960</xdr:colOff>
      <xdr:row>28</xdr:row>
      <xdr:rowOff>18409</xdr:rowOff>
    </xdr:from>
    <xdr:to>
      <xdr:col>15</xdr:col>
      <xdr:colOff>141066</xdr:colOff>
      <xdr:row>48</xdr:row>
      <xdr:rowOff>68625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9791BB57-5201-62E8-8EBC-EA05755F0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313660</xdr:colOff>
      <xdr:row>50</xdr:row>
      <xdr:rowOff>46664</xdr:rowOff>
    </xdr:from>
    <xdr:to>
      <xdr:col>5</xdr:col>
      <xdr:colOff>115454</xdr:colOff>
      <xdr:row>69</xdr:row>
      <xdr:rowOff>122863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EB6F9322-84C9-2E82-5012-857801700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402856</xdr:colOff>
      <xdr:row>50</xdr:row>
      <xdr:rowOff>37805</xdr:rowOff>
    </xdr:from>
    <xdr:to>
      <xdr:col>10</xdr:col>
      <xdr:colOff>1082551</xdr:colOff>
      <xdr:row>69</xdr:row>
      <xdr:rowOff>114004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F0665256-5B87-C148-A7AA-6583785B0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828262</xdr:colOff>
      <xdr:row>71</xdr:row>
      <xdr:rowOff>139700</xdr:rowOff>
    </xdr:from>
    <xdr:to>
      <xdr:col>9</xdr:col>
      <xdr:colOff>1435654</xdr:colOff>
      <xdr:row>85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3D3842F-61B0-381E-5F84-A6681F62D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3F7C-92F2-DC45-B6B6-FC10FE6EEFA8}">
  <dimension ref="A9:R87"/>
  <sheetViews>
    <sheetView tabSelected="1" topLeftCell="A60" zoomScale="75" zoomScaleNormal="100" workbookViewId="0">
      <selection activeCell="K76" sqref="K76"/>
    </sheetView>
  </sheetViews>
  <sheetFormatPr baseColWidth="10" defaultColWidth="16.33203125" defaultRowHeight="16" x14ac:dyDescent="0.2"/>
  <cols>
    <col min="1" max="1" width="5.1640625" customWidth="1"/>
    <col min="3" max="3" width="18.33203125" customWidth="1"/>
    <col min="10" max="10" width="26" customWidth="1"/>
  </cols>
  <sheetData>
    <row r="9" spans="1:11" x14ac:dyDescent="0.2">
      <c r="A9" s="24" t="s">
        <v>21</v>
      </c>
      <c r="B9" s="1" t="s">
        <v>22</v>
      </c>
    </row>
    <row r="10" spans="1:11" x14ac:dyDescent="0.2">
      <c r="A10" s="25" t="s">
        <v>23</v>
      </c>
      <c r="B10" t="s">
        <v>24</v>
      </c>
    </row>
    <row r="12" spans="1:11" x14ac:dyDescent="0.2">
      <c r="A12" s="1" t="s">
        <v>0</v>
      </c>
    </row>
    <row r="13" spans="1:11" ht="17" thickBot="1" x14ac:dyDescent="0.25">
      <c r="B13" s="2" t="s">
        <v>1</v>
      </c>
      <c r="C13" s="2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15"/>
    </row>
    <row r="14" spans="1:11" x14ac:dyDescent="0.2">
      <c r="B14" s="21" t="s">
        <v>10</v>
      </c>
      <c r="C14" s="5">
        <v>44592</v>
      </c>
      <c r="D14" s="6">
        <v>184171.1</v>
      </c>
      <c r="E14" s="6">
        <v>19085.257142857143</v>
      </c>
      <c r="F14" s="6">
        <v>9259.11</v>
      </c>
      <c r="G14" s="6">
        <v>8368.235999999999</v>
      </c>
      <c r="H14" s="6">
        <v>3012.5649599999997</v>
      </c>
      <c r="I14" s="6">
        <v>20006.51968503937</v>
      </c>
      <c r="J14" s="7">
        <f>SUM(E14:I14)/D14</f>
        <v>0.32432714898209608</v>
      </c>
      <c r="K14" s="16"/>
    </row>
    <row r="15" spans="1:11" x14ac:dyDescent="0.2">
      <c r="B15" s="21"/>
      <c r="C15" s="8">
        <v>44620</v>
      </c>
      <c r="D15" s="9">
        <v>198173.21</v>
      </c>
      <c r="E15" s="9">
        <v>32580.055238095429</v>
      </c>
      <c r="F15" s="9">
        <v>10037.92</v>
      </c>
      <c r="G15" s="9">
        <v>9644.5367999999999</v>
      </c>
      <c r="H15" s="9">
        <v>3472.0332479999997</v>
      </c>
      <c r="I15" s="9">
        <v>40551.149606299208</v>
      </c>
      <c r="J15" s="10">
        <f t="shared" ref="J15:J24" si="0">SUM(E15:I15)/D15</f>
        <v>0.48586635344098555</v>
      </c>
      <c r="K15" s="16"/>
    </row>
    <row r="16" spans="1:11" x14ac:dyDescent="0.2">
      <c r="B16" s="21"/>
      <c r="C16" s="8">
        <v>44651</v>
      </c>
      <c r="D16" s="9">
        <v>212175.32</v>
      </c>
      <c r="E16" s="9">
        <v>34050.118095238286</v>
      </c>
      <c r="F16" s="9">
        <v>13311.779999999999</v>
      </c>
      <c r="G16" s="9">
        <v>10165.2264</v>
      </c>
      <c r="H16" s="9">
        <v>3659.4815039999999</v>
      </c>
      <c r="I16" s="9">
        <v>50823.464566929135</v>
      </c>
      <c r="J16" s="10">
        <f t="shared" si="0"/>
        <v>0.52791281552523361</v>
      </c>
      <c r="K16" s="16"/>
    </row>
    <row r="17" spans="1:11" x14ac:dyDescent="0.2">
      <c r="B17" s="21"/>
      <c r="C17" s="8">
        <v>44681</v>
      </c>
      <c r="D17" s="9">
        <v>226177.43</v>
      </c>
      <c r="E17" s="9">
        <v>35520.180952381146</v>
      </c>
      <c r="F17" s="9">
        <v>14922.2733333333</v>
      </c>
      <c r="G17" s="9">
        <v>11189.656800000001</v>
      </c>
      <c r="H17" s="9">
        <v>4028.2764480000001</v>
      </c>
      <c r="I17" s="9">
        <v>61095.779527559054</v>
      </c>
      <c r="J17" s="10">
        <f t="shared" si="0"/>
        <v>0.56042801026288747</v>
      </c>
      <c r="K17" s="16"/>
    </row>
    <row r="18" spans="1:11" x14ac:dyDescent="0.2">
      <c r="B18" s="21"/>
      <c r="C18" s="8">
        <v>44712</v>
      </c>
      <c r="D18" s="9">
        <v>240179.54</v>
      </c>
      <c r="E18" s="9">
        <v>36990.243809524</v>
      </c>
      <c r="F18" s="9">
        <v>16948.608333333301</v>
      </c>
      <c r="G18" s="9">
        <v>12088.151999999998</v>
      </c>
      <c r="H18" s="9">
        <v>4351.7347199999995</v>
      </c>
      <c r="I18" s="9">
        <v>71368.094488188974</v>
      </c>
      <c r="J18" s="10">
        <f t="shared" si="0"/>
        <v>0.59017030905732537</v>
      </c>
      <c r="K18" s="16"/>
    </row>
    <row r="19" spans="1:11" x14ac:dyDescent="0.2">
      <c r="B19" s="21"/>
      <c r="C19" s="8">
        <v>44742</v>
      </c>
      <c r="D19" s="9">
        <v>254181.65</v>
      </c>
      <c r="E19" s="9">
        <v>38460.30666666686</v>
      </c>
      <c r="F19" s="9">
        <v>18974.9433333333</v>
      </c>
      <c r="G19" s="9">
        <v>12986.647199999998</v>
      </c>
      <c r="H19" s="9">
        <v>4675.1929919999993</v>
      </c>
      <c r="I19" s="9">
        <v>73766.393700787405</v>
      </c>
      <c r="J19" s="10">
        <f>SUM(E19:I19)/D19</f>
        <v>0.58565787063223307</v>
      </c>
      <c r="K19" s="16"/>
    </row>
    <row r="20" spans="1:11" ht="17" thickBot="1" x14ac:dyDescent="0.25">
      <c r="B20" s="22"/>
      <c r="C20" s="11">
        <v>44773</v>
      </c>
      <c r="D20" s="12">
        <v>268183.760000001</v>
      </c>
      <c r="E20" s="12">
        <v>39930.369523809713</v>
      </c>
      <c r="F20" s="12">
        <v>21001.278333333299</v>
      </c>
      <c r="G20" s="12">
        <v>13885.142399999999</v>
      </c>
      <c r="H20" s="12">
        <v>4998.6512639999992</v>
      </c>
      <c r="I20" s="12">
        <v>76164.692913385836</v>
      </c>
      <c r="J20" s="13">
        <f t="shared" si="0"/>
        <v>0.5816166289656326</v>
      </c>
      <c r="K20" s="16"/>
    </row>
    <row r="21" spans="1:11" x14ac:dyDescent="0.2">
      <c r="B21" s="21" t="s">
        <v>11</v>
      </c>
      <c r="C21" s="5">
        <v>44592</v>
      </c>
      <c r="D21" s="6">
        <v>18999.36</v>
      </c>
      <c r="E21" s="6">
        <v>1413.6000000000001</v>
      </c>
      <c r="F21" s="6">
        <v>1.1499999999999999</v>
      </c>
      <c r="G21" s="6">
        <v>176.70000000000002</v>
      </c>
      <c r="H21" s="6">
        <v>14.28</v>
      </c>
      <c r="I21" s="6">
        <v>2624.16</v>
      </c>
      <c r="J21" s="7">
        <f>SUM(E21:I21)/D21</f>
        <v>0.22263328870025095</v>
      </c>
      <c r="K21" s="16"/>
    </row>
    <row r="22" spans="1:11" x14ac:dyDescent="0.2">
      <c r="B22" s="21"/>
      <c r="C22" s="8">
        <v>44620</v>
      </c>
      <c r="D22" s="9">
        <v>43464</v>
      </c>
      <c r="E22" s="9">
        <v>3926.88</v>
      </c>
      <c r="F22" s="9">
        <v>29.25</v>
      </c>
      <c r="G22" s="9">
        <v>490.86</v>
      </c>
      <c r="H22" s="9">
        <v>34.04</v>
      </c>
      <c r="I22" s="9">
        <v>8664.0999999999985</v>
      </c>
      <c r="J22" s="10">
        <f t="shared" si="0"/>
        <v>0.30243718939812253</v>
      </c>
      <c r="K22" s="16"/>
    </row>
    <row r="23" spans="1:11" x14ac:dyDescent="0.2">
      <c r="B23" s="21"/>
      <c r="C23" s="8">
        <v>44651</v>
      </c>
      <c r="D23" s="9">
        <v>101837.9</v>
      </c>
      <c r="E23" s="9">
        <v>6823.44</v>
      </c>
      <c r="F23" s="9">
        <v>37.6</v>
      </c>
      <c r="G23" s="9">
        <v>852.93</v>
      </c>
      <c r="H23" s="9">
        <v>69.680000000000007</v>
      </c>
      <c r="I23" s="9">
        <v>11212.47</v>
      </c>
      <c r="J23" s="10">
        <f t="shared" si="0"/>
        <v>0.18653291161738411</v>
      </c>
      <c r="K23" s="16"/>
    </row>
    <row r="24" spans="1:11" x14ac:dyDescent="0.2">
      <c r="B24" s="21"/>
      <c r="C24" s="8">
        <v>44681</v>
      </c>
      <c r="D24" s="9">
        <v>104092</v>
      </c>
      <c r="E24" s="9">
        <v>7557.12</v>
      </c>
      <c r="F24" s="9">
        <v>68.88</v>
      </c>
      <c r="G24" s="9">
        <v>944.64</v>
      </c>
      <c r="H24" s="9">
        <v>84.240000000000009</v>
      </c>
      <c r="I24" s="9">
        <v>12713.76</v>
      </c>
      <c r="J24" s="10">
        <f t="shared" si="0"/>
        <v>0.20528609307151366</v>
      </c>
      <c r="K24" s="16"/>
    </row>
    <row r="25" spans="1:11" x14ac:dyDescent="0.2">
      <c r="B25" s="21"/>
      <c r="C25" s="8">
        <v>44712</v>
      </c>
      <c r="D25" s="9">
        <v>122823.01</v>
      </c>
      <c r="E25" s="9">
        <v>8326.4</v>
      </c>
      <c r="F25" s="9">
        <v>121.2</v>
      </c>
      <c r="G25" s="9">
        <v>1040.8</v>
      </c>
      <c r="H25" s="9">
        <v>126.38</v>
      </c>
      <c r="I25" s="9">
        <v>15155.18</v>
      </c>
      <c r="J25" s="10">
        <f>SUM(E25:I25)/D25</f>
        <v>0.20167198312433476</v>
      </c>
      <c r="K25" s="16"/>
    </row>
    <row r="26" spans="1:11" x14ac:dyDescent="0.2">
      <c r="B26" s="21"/>
      <c r="C26" s="8">
        <v>44742</v>
      </c>
      <c r="D26" s="9">
        <v>173302.43</v>
      </c>
      <c r="E26" s="9">
        <v>14972.08</v>
      </c>
      <c r="F26" s="9">
        <v>166.77</v>
      </c>
      <c r="G26" s="9">
        <v>1871.51</v>
      </c>
      <c r="H26" s="9">
        <v>196</v>
      </c>
      <c r="I26" s="9">
        <v>25213.91</v>
      </c>
      <c r="J26" s="10">
        <f>SUM(E26:I26)/D26</f>
        <v>0.24477596765377155</v>
      </c>
      <c r="K26" s="16"/>
    </row>
    <row r="27" spans="1:11" x14ac:dyDescent="0.2">
      <c r="B27" s="23"/>
      <c r="C27" s="8">
        <v>44773</v>
      </c>
      <c r="D27" s="9">
        <v>187483.1</v>
      </c>
      <c r="E27" s="9">
        <v>17394.72</v>
      </c>
      <c r="F27" s="9">
        <v>233.10000000000002</v>
      </c>
      <c r="G27" s="9">
        <v>2174.34</v>
      </c>
      <c r="H27" s="9">
        <v>209.92</v>
      </c>
      <c r="I27" s="9">
        <v>32270.52</v>
      </c>
      <c r="J27" s="10">
        <f>SUM(E27:I27)/D27</f>
        <v>0.27886566842558075</v>
      </c>
      <c r="K27" s="16"/>
    </row>
    <row r="28" spans="1:11" x14ac:dyDescent="0.2">
      <c r="A28" s="25" t="s">
        <v>25</v>
      </c>
      <c r="B28" t="s">
        <v>26</v>
      </c>
    </row>
    <row r="29" spans="1:11" x14ac:dyDescent="0.2">
      <c r="A29" s="18" t="s">
        <v>12</v>
      </c>
    </row>
    <row r="30" spans="1:11" ht="17" thickBot="1" x14ac:dyDescent="0.25">
      <c r="B30" s="2" t="s">
        <v>1</v>
      </c>
      <c r="C30" s="19" t="s">
        <v>2</v>
      </c>
      <c r="D30" s="3" t="s">
        <v>13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</row>
    <row r="31" spans="1:11" x14ac:dyDescent="0.2">
      <c r="B31" s="21" t="s">
        <v>10</v>
      </c>
      <c r="C31" s="5">
        <v>44592</v>
      </c>
      <c r="D31" s="17">
        <f t="shared" ref="D31:H37" si="1">E14/$D14</f>
        <v>0.10362786095569361</v>
      </c>
      <c r="E31" s="17">
        <f t="shared" si="1"/>
        <v>5.0274500179452696E-2</v>
      </c>
      <c r="F31" s="17">
        <f t="shared" si="1"/>
        <v>4.5437291735782641E-2</v>
      </c>
      <c r="G31" s="17">
        <f t="shared" si="1"/>
        <v>1.6357425024881751E-2</v>
      </c>
      <c r="H31" s="17">
        <f t="shared" si="1"/>
        <v>0.10863007108628536</v>
      </c>
      <c r="I31" s="7">
        <v>0.32432714898209608</v>
      </c>
    </row>
    <row r="32" spans="1:11" x14ac:dyDescent="0.2">
      <c r="B32" s="21"/>
      <c r="C32" s="8">
        <v>44620</v>
      </c>
      <c r="D32" s="17">
        <f t="shared" si="1"/>
        <v>0.16440191506256285</v>
      </c>
      <c r="E32" s="17">
        <f t="shared" si="1"/>
        <v>5.0652255166074169E-2</v>
      </c>
      <c r="F32" s="17">
        <f t="shared" si="1"/>
        <v>4.8667207843078285E-2</v>
      </c>
      <c r="G32" s="17">
        <f t="shared" si="1"/>
        <v>1.7520194823508181E-2</v>
      </c>
      <c r="H32" s="17">
        <f t="shared" si="1"/>
        <v>0.20462478054576203</v>
      </c>
      <c r="I32" s="10">
        <v>0.48586635344098555</v>
      </c>
    </row>
    <row r="33" spans="1:9" x14ac:dyDescent="0.2">
      <c r="B33" s="21"/>
      <c r="C33" s="8">
        <v>44651</v>
      </c>
      <c r="D33" s="17">
        <f t="shared" si="1"/>
        <v>0.16048104979994038</v>
      </c>
      <c r="E33" s="17">
        <f t="shared" si="1"/>
        <v>6.2739530686226841E-2</v>
      </c>
      <c r="F33" s="17">
        <f t="shared" si="1"/>
        <v>4.790956082922368E-2</v>
      </c>
      <c r="G33" s="17">
        <f t="shared" si="1"/>
        <v>1.7247441898520524E-2</v>
      </c>
      <c r="H33" s="17">
        <f t="shared" si="1"/>
        <v>0.23953523231132223</v>
      </c>
      <c r="I33" s="10">
        <v>0.52791281552523361</v>
      </c>
    </row>
    <row r="34" spans="1:9" x14ac:dyDescent="0.2">
      <c r="B34" s="21"/>
      <c r="C34" s="8">
        <v>44681</v>
      </c>
      <c r="D34" s="17">
        <f t="shared" si="1"/>
        <v>0.15704564753601252</v>
      </c>
      <c r="E34" s="17">
        <f t="shared" si="1"/>
        <v>6.5975961144015563E-2</v>
      </c>
      <c r="F34" s="17">
        <f t="shared" si="1"/>
        <v>4.9472915135696786E-2</v>
      </c>
      <c r="G34" s="17">
        <f t="shared" si="1"/>
        <v>1.7810249448850842E-2</v>
      </c>
      <c r="H34" s="17">
        <f t="shared" si="1"/>
        <v>0.2701232369983117</v>
      </c>
      <c r="I34" s="10">
        <v>0.56042801026288747</v>
      </c>
    </row>
    <row r="35" spans="1:9" x14ac:dyDescent="0.2">
      <c r="B35" s="21"/>
      <c r="C35" s="8">
        <v>44712</v>
      </c>
      <c r="D35" s="17">
        <f t="shared" si="1"/>
        <v>0.15401080295817038</v>
      </c>
      <c r="E35" s="17">
        <f t="shared" si="1"/>
        <v>7.0566411832303874E-2</v>
      </c>
      <c r="F35" s="17">
        <f t="shared" si="1"/>
        <v>5.0329649228239834E-2</v>
      </c>
      <c r="G35" s="17">
        <f t="shared" si="1"/>
        <v>1.8118673722166339E-2</v>
      </c>
      <c r="H35" s="17">
        <f t="shared" si="1"/>
        <v>0.29714477131644507</v>
      </c>
      <c r="I35" s="10">
        <v>0.59017030905732537</v>
      </c>
    </row>
    <row r="36" spans="1:9" x14ac:dyDescent="0.2">
      <c r="B36" s="21"/>
      <c r="C36" s="8">
        <v>44742</v>
      </c>
      <c r="D36" s="17">
        <f t="shared" si="1"/>
        <v>0.15131031947690504</v>
      </c>
      <c r="E36" s="17">
        <f t="shared" si="1"/>
        <v>7.4651114009737923E-2</v>
      </c>
      <c r="F36" s="17">
        <f t="shared" si="1"/>
        <v>5.1091993462155892E-2</v>
      </c>
      <c r="G36" s="17">
        <f t="shared" si="1"/>
        <v>1.8393117646376123E-2</v>
      </c>
      <c r="H36" s="17">
        <f t="shared" si="1"/>
        <v>0.29021132603705818</v>
      </c>
      <c r="I36" s="10">
        <v>0.58565787063223307</v>
      </c>
    </row>
    <row r="37" spans="1:9" ht="17" thickBot="1" x14ac:dyDescent="0.25">
      <c r="B37" s="22"/>
      <c r="C37" s="11">
        <v>44773</v>
      </c>
      <c r="D37" s="17">
        <f t="shared" si="1"/>
        <v>0.14889182523136213</v>
      </c>
      <c r="E37" s="17">
        <f t="shared" si="1"/>
        <v>7.8309284400118861E-2</v>
      </c>
      <c r="F37" s="17">
        <f t="shared" si="1"/>
        <v>5.1774732370073219E-2</v>
      </c>
      <c r="G37" s="17">
        <f t="shared" si="1"/>
        <v>1.8638903653226357E-2</v>
      </c>
      <c r="H37" s="17">
        <f t="shared" si="1"/>
        <v>0.28400188331085208</v>
      </c>
      <c r="I37" s="13">
        <v>0.5816166289656326</v>
      </c>
    </row>
    <row r="40" spans="1:9" x14ac:dyDescent="0.2">
      <c r="A40" s="18" t="s">
        <v>12</v>
      </c>
    </row>
    <row r="41" spans="1:9" ht="17" thickBot="1" x14ac:dyDescent="0.25">
      <c r="B41" s="2" t="s">
        <v>1</v>
      </c>
      <c r="C41" s="19" t="s">
        <v>2</v>
      </c>
      <c r="D41" s="3" t="s">
        <v>13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</row>
    <row r="42" spans="1:9" x14ac:dyDescent="0.2">
      <c r="B42" s="4" t="s">
        <v>11</v>
      </c>
      <c r="C42" s="5">
        <v>44592</v>
      </c>
      <c r="D42" s="17">
        <f t="shared" ref="D42:H48" si="2">E21/$D21</f>
        <v>7.440250618968218E-2</v>
      </c>
      <c r="E42" s="17">
        <f t="shared" si="2"/>
        <v>6.0528354639314159E-5</v>
      </c>
      <c r="F42" s="17">
        <f t="shared" si="2"/>
        <v>9.3003132737102725E-3</v>
      </c>
      <c r="G42" s="17">
        <f t="shared" si="2"/>
        <v>7.516042645647011E-4</v>
      </c>
      <c r="H42" s="17">
        <f t="shared" si="2"/>
        <v>0.13811833661765449</v>
      </c>
      <c r="I42" s="7">
        <v>0.22263328870025095</v>
      </c>
    </row>
    <row r="43" spans="1:9" x14ac:dyDescent="0.2">
      <c r="B43" s="4"/>
      <c r="C43" s="8">
        <v>44620</v>
      </c>
      <c r="D43" s="17">
        <f t="shared" si="2"/>
        <v>9.0347874102705686E-2</v>
      </c>
      <c r="E43" s="17">
        <f t="shared" si="2"/>
        <v>6.7297073440088348E-4</v>
      </c>
      <c r="F43" s="17">
        <f t="shared" si="2"/>
        <v>1.1293484262838211E-2</v>
      </c>
      <c r="G43" s="17">
        <f t="shared" si="2"/>
        <v>7.8317688201730165E-4</v>
      </c>
      <c r="H43" s="17">
        <f t="shared" si="2"/>
        <v>0.19933968341616046</v>
      </c>
      <c r="I43" s="10">
        <v>0.30243718939812253</v>
      </c>
    </row>
    <row r="44" spans="1:9" x14ac:dyDescent="0.2">
      <c r="B44" s="4"/>
      <c r="C44" s="8">
        <v>44651</v>
      </c>
      <c r="D44" s="17">
        <f t="shared" si="2"/>
        <v>6.7002952731743295E-2</v>
      </c>
      <c r="E44" s="17">
        <f t="shared" si="2"/>
        <v>3.6921421199769439E-4</v>
      </c>
      <c r="F44" s="17">
        <f t="shared" si="2"/>
        <v>8.3753690914679119E-3</v>
      </c>
      <c r="G44" s="17">
        <f t="shared" si="2"/>
        <v>6.842246354255146E-4</v>
      </c>
      <c r="H44" s="17">
        <f t="shared" si="2"/>
        <v>0.11010115094674969</v>
      </c>
      <c r="I44" s="10">
        <v>0.18653291161738411</v>
      </c>
    </row>
    <row r="45" spans="1:9" x14ac:dyDescent="0.2">
      <c r="B45" s="4"/>
      <c r="C45" s="8">
        <v>44681</v>
      </c>
      <c r="D45" s="17">
        <f t="shared" si="2"/>
        <v>7.2600391960957619E-2</v>
      </c>
      <c r="E45" s="17">
        <f t="shared" si="2"/>
        <v>6.6172232256081151E-4</v>
      </c>
      <c r="F45" s="17">
        <f t="shared" si="2"/>
        <v>9.0750489951197024E-3</v>
      </c>
      <c r="G45" s="17">
        <f t="shared" si="2"/>
        <v>8.0928409483918085E-4</v>
      </c>
      <c r="H45" s="17">
        <f t="shared" si="2"/>
        <v>0.12213964569803636</v>
      </c>
      <c r="I45" s="10">
        <v>0.20528609307151366</v>
      </c>
    </row>
    <row r="46" spans="1:9" x14ac:dyDescent="0.2">
      <c r="B46" s="4"/>
      <c r="C46" s="8">
        <v>44712</v>
      </c>
      <c r="D46" s="17">
        <f t="shared" si="2"/>
        <v>6.7791857568056668E-2</v>
      </c>
      <c r="E46" s="17">
        <f t="shared" si="2"/>
        <v>9.8678578224064054E-4</v>
      </c>
      <c r="F46" s="17">
        <f t="shared" si="2"/>
        <v>8.4739821960070835E-3</v>
      </c>
      <c r="G46" s="17">
        <f t="shared" si="2"/>
        <v>1.0289602900954797E-3</v>
      </c>
      <c r="H46" s="17">
        <f t="shared" si="2"/>
        <v>0.1233903972879349</v>
      </c>
      <c r="I46" s="10">
        <v>0.20167198312433476</v>
      </c>
    </row>
    <row r="47" spans="1:9" x14ac:dyDescent="0.2">
      <c r="B47" s="4"/>
      <c r="C47" s="8">
        <v>44742</v>
      </c>
      <c r="D47" s="17">
        <f t="shared" si="2"/>
        <v>8.6392787452547554E-2</v>
      </c>
      <c r="E47" s="17">
        <f t="shared" si="2"/>
        <v>9.6230618347359592E-4</v>
      </c>
      <c r="F47" s="17">
        <f t="shared" si="2"/>
        <v>1.0799098431568444E-2</v>
      </c>
      <c r="G47" s="17">
        <f t="shared" si="2"/>
        <v>1.1309708698256568E-3</v>
      </c>
      <c r="H47" s="17">
        <f t="shared" si="2"/>
        <v>0.14549080471635625</v>
      </c>
      <c r="I47" s="10">
        <v>0.24477596765377155</v>
      </c>
    </row>
    <row r="48" spans="1:9" x14ac:dyDescent="0.2">
      <c r="B48" s="14"/>
      <c r="C48" s="8">
        <v>44773</v>
      </c>
      <c r="D48" s="17">
        <f t="shared" si="2"/>
        <v>9.2780202588926691E-2</v>
      </c>
      <c r="E48" s="17">
        <f t="shared" si="2"/>
        <v>1.2433120638606894E-3</v>
      </c>
      <c r="F48" s="17">
        <f t="shared" si="2"/>
        <v>1.1597525323615836E-2</v>
      </c>
      <c r="G48" s="17">
        <f t="shared" si="2"/>
        <v>1.1196742533060313E-3</v>
      </c>
      <c r="H48" s="17">
        <f t="shared" si="2"/>
        <v>0.17212495419587151</v>
      </c>
      <c r="I48" s="10">
        <v>0.27886566842558075</v>
      </c>
    </row>
    <row r="53" spans="18:18" ht="19" x14ac:dyDescent="0.2">
      <c r="R53" s="20" t="s">
        <v>19</v>
      </c>
    </row>
    <row r="72" spans="1:5" x14ac:dyDescent="0.2">
      <c r="A72" s="25" t="s">
        <v>27</v>
      </c>
      <c r="B72" t="s">
        <v>28</v>
      </c>
    </row>
    <row r="74" spans="1:5" x14ac:dyDescent="0.2">
      <c r="B74" t="s">
        <v>20</v>
      </c>
      <c r="C74" t="s">
        <v>10</v>
      </c>
      <c r="D74" t="s">
        <v>11</v>
      </c>
      <c r="E74" t="s">
        <v>29</v>
      </c>
    </row>
    <row r="75" spans="1:5" x14ac:dyDescent="0.2">
      <c r="B75" t="s">
        <v>17</v>
      </c>
      <c r="C75" s="27">
        <f>I20/D20</f>
        <v>0.28400188331085208</v>
      </c>
      <c r="D75" s="27">
        <f>I27/D27</f>
        <v>0.17212495419587151</v>
      </c>
      <c r="E75" s="27">
        <f>C75-D75</f>
        <v>0.11187692911498057</v>
      </c>
    </row>
    <row r="76" spans="1:5" x14ac:dyDescent="0.2">
      <c r="B76" t="s">
        <v>13</v>
      </c>
      <c r="C76" s="27">
        <f>E20/D20</f>
        <v>0.14889182523136213</v>
      </c>
      <c r="D76" s="27">
        <f>E27/D27</f>
        <v>9.2780202588926691E-2</v>
      </c>
      <c r="E76" s="27">
        <f t="shared" ref="E76:E79" si="3">C76-D76</f>
        <v>5.6111622642435438E-2</v>
      </c>
    </row>
    <row r="77" spans="1:5" x14ac:dyDescent="0.2">
      <c r="B77" t="s">
        <v>14</v>
      </c>
      <c r="C77" s="27">
        <f>F20/D20</f>
        <v>7.8309284400118861E-2</v>
      </c>
      <c r="D77" s="27">
        <f>F27/D27</f>
        <v>1.2433120638606894E-3</v>
      </c>
      <c r="E77" s="27">
        <f t="shared" si="3"/>
        <v>7.7065972336258171E-2</v>
      </c>
    </row>
    <row r="78" spans="1:5" x14ac:dyDescent="0.2">
      <c r="B78" t="s">
        <v>15</v>
      </c>
      <c r="C78" s="27">
        <f>G20/D20</f>
        <v>5.1774732370073219E-2</v>
      </c>
      <c r="D78" s="27">
        <f>G27/D27</f>
        <v>1.1597525323615836E-2</v>
      </c>
      <c r="E78" s="27">
        <f t="shared" si="3"/>
        <v>4.0177207046457386E-2</v>
      </c>
    </row>
    <row r="79" spans="1:5" x14ac:dyDescent="0.2">
      <c r="B79" t="s">
        <v>16</v>
      </c>
      <c r="C79" s="27">
        <f>H20/D20</f>
        <v>1.8638903653226357E-2</v>
      </c>
      <c r="D79" s="27">
        <f>H27/D27</f>
        <v>1.1196742533060313E-3</v>
      </c>
      <c r="E79" s="27">
        <f t="shared" si="3"/>
        <v>1.7519229399920327E-2</v>
      </c>
    </row>
    <row r="83" spans="3:4" x14ac:dyDescent="0.2">
      <c r="C83" s="26"/>
      <c r="D83" s="26"/>
    </row>
    <row r="84" spans="3:4" x14ac:dyDescent="0.2">
      <c r="C84" s="26"/>
      <c r="D84" s="26"/>
    </row>
    <row r="85" spans="3:4" x14ac:dyDescent="0.2">
      <c r="C85" s="26"/>
      <c r="D85" s="26"/>
    </row>
    <row r="86" spans="3:4" x14ac:dyDescent="0.2">
      <c r="C86" s="26"/>
      <c r="D86" s="26"/>
    </row>
    <row r="87" spans="3:4" x14ac:dyDescent="0.2">
      <c r="C87" s="26"/>
      <c r="D87" s="26"/>
    </row>
  </sheetData>
  <mergeCells count="3">
    <mergeCell ref="B14:B20"/>
    <mergeCell ref="B21:B27"/>
    <mergeCell ref="B31:B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Юля Садыкова</dc:creator>
  <cp:lastModifiedBy>Юля Садыкова</cp:lastModifiedBy>
  <dcterms:created xsi:type="dcterms:W3CDTF">2026-07-05T07:21:13Z</dcterms:created>
  <dcterms:modified xsi:type="dcterms:W3CDTF">2026-07-05T18:31:47Z</dcterms:modified>
</cp:coreProperties>
</file>